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📈 Charts" sheetId="2" state="visible" r:id="rId2"/>
    <sheet name="🗺️ Region Scorecard" sheetId="3" state="visible" r:id="rId3"/>
    <sheet name="📋 Commentary" sheetId="4" state="visible" r:id="rId4"/>
    <sheet name="📦 Category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7A7268"/>
      <sz val="8"/>
    </font>
    <font>
      <name val="Arial"/>
      <b val="1"/>
      <color rgb="00E8590C"/>
      <sz val="17"/>
    </font>
    <font>
      <name val="Arial"/>
      <i val="1"/>
      <color rgb="00E8590C"/>
      <sz val="8"/>
    </font>
    <font>
      <name val="Arial"/>
      <i val="1"/>
      <color rgb="007A7268"/>
      <sz val="8"/>
    </font>
    <font>
      <name val="Arial"/>
      <b val="1"/>
      <color rgb="002A6496"/>
      <sz val="17"/>
    </font>
    <font>
      <name val="Arial"/>
      <b val="1"/>
      <color rgb="002D7A4F"/>
      <sz val="17"/>
    </font>
    <font>
      <name val="Arial"/>
      <i val="1"/>
      <color rgb="002D7A4F"/>
      <sz val="8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1A1A2E"/>
      <sz val="9"/>
    </font>
    <font>
      <name val="Arial"/>
      <b val="1"/>
      <color rgb="00E8590C"/>
      <sz val="9"/>
    </font>
    <font>
      <name val="Arial"/>
      <b val="1"/>
      <color rgb="002D7A4F"/>
      <sz val="9"/>
    </font>
    <font>
      <name val="Arial"/>
      <sz val="9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2D7A4F"/>
      <sz val="10"/>
    </font>
    <font>
      <name val="Arial"/>
      <b val="1"/>
      <color rgb="001A1A2E"/>
      <sz val="9"/>
    </font>
    <font>
      <name val="Arial"/>
      <b val="1"/>
      <color rgb="00E8590C"/>
      <sz val="10"/>
    </font>
    <font>
      <name val="Arial"/>
      <b val="1"/>
      <color rgb="00E8B84B"/>
      <sz val="10"/>
    </font>
  </fonts>
  <fills count="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7F4EF"/>
      </patternFill>
    </fill>
    <fill>
      <patternFill patternType="solid">
        <fgColor rgb="002A6496"/>
      </patternFill>
    </fill>
    <fill>
      <patternFill patternType="solid">
        <fgColor rgb="00FFFFFF"/>
      </patternFill>
    </fill>
    <fill>
      <patternFill patternType="solid">
        <fgColor rgb="00FFE0D6"/>
      </patternFill>
    </fill>
    <fill>
      <patternFill patternType="solid">
        <fgColor rgb="00D6F0E0"/>
      </patternFill>
    </fill>
    <fill>
      <patternFill patternType="solid">
        <fgColor rgb="00FFF6D6"/>
      </patternFill>
    </fill>
  </fills>
  <borders count="14">
    <border>
      <left/>
      <right/>
      <top/>
      <bottom/>
      <diagonal/>
    </border>
    <border>
      <left style="thin">
        <color rgb="00E8590C"/>
      </left>
      <right style="thin">
        <color rgb="00D4CFC3"/>
      </right>
      <top style="thin">
        <color rgb="00E8590C"/>
      </top>
      <bottom style="thin">
        <color rgb="00D4CFC3"/>
      </bottom>
    </border>
    <border>
      <left style="thin">
        <color rgb="00E8590C"/>
      </left>
      <right style="thin">
        <color rgb="00D4CFC3"/>
      </right>
      <top style="thin">
        <color rgb="00D4CFC3"/>
      </top>
      <bottom style="thin">
        <color rgb="00D4CFC3"/>
      </bottom>
    </border>
    <border>
      <left style="thin">
        <color rgb="00E8590C"/>
      </left>
      <right style="thin">
        <color rgb="00D4CFC3"/>
      </right>
      <top style="thin">
        <color rgb="00D4CFC3"/>
      </top>
      <bottom style="thin">
        <color rgb="00E8590C"/>
      </bottom>
    </border>
    <border>
      <left style="thin">
        <color rgb="00D4CFC3"/>
      </left>
      <right style="thin">
        <color rgb="00D4CFC3"/>
      </right>
      <top style="thin">
        <color rgb="00E8590C"/>
      </top>
      <bottom style="thin">
        <color rgb="00D4CFC3"/>
      </bottom>
    </border>
    <border>
      <left style="thin">
        <color rgb="00D4CFC3"/>
      </left>
      <right style="thin">
        <color rgb="00D4CFC3"/>
      </right>
      <top style="thin">
        <color rgb="00D4CFC3"/>
      </top>
      <bottom style="thin">
        <color rgb="00D4CFC3"/>
      </bottom>
    </border>
    <border>
      <left style="thin">
        <color rgb="00D4CFC3"/>
      </left>
      <right style="thin">
        <color rgb="00D4CFC3"/>
      </right>
      <top style="thin">
        <color rgb="00D4CFC3"/>
      </top>
      <bottom style="thin">
        <color rgb="00E8590C"/>
      </bottom>
    </border>
    <border>
      <left style="thin">
        <color rgb="00D4CFC3"/>
      </left>
      <right style="thin">
        <color rgb="00D4CFC3"/>
      </right>
      <top style="thin">
        <color rgb="002A6496"/>
      </top>
      <bottom style="thin">
        <color rgb="00D4CFC3"/>
      </bottom>
    </border>
    <border>
      <left style="thin">
        <color rgb="00D4CFC3"/>
      </left>
      <right style="thin">
        <color rgb="00D4CFC3"/>
      </right>
      <top style="thin">
        <color rgb="00D4CFC3"/>
      </top>
      <bottom style="thin">
        <color rgb="002A6496"/>
      </bottom>
    </border>
    <border>
      <left style="thin">
        <color rgb="00D4CFC3"/>
      </left>
      <right style="thin">
        <color rgb="00D4CFC3"/>
      </right>
      <top style="thin">
        <color rgb="002D7A4F"/>
      </top>
      <bottom style="thin">
        <color rgb="00D4CFC3"/>
      </bottom>
    </border>
    <border>
      <left style="thin">
        <color rgb="00D4CFC3"/>
      </left>
      <right style="thin">
        <color rgb="00D4CFC3"/>
      </right>
      <top style="thin">
        <color rgb="00D4CFC3"/>
      </top>
      <bottom style="thin">
        <color rgb="002D7A4F"/>
      </bottom>
    </border>
    <border>
      <left style="thin">
        <color rgb="00D4CFC3"/>
      </left>
      <right style="thin">
        <color rgb="002A6496"/>
      </right>
      <top style="thin">
        <color rgb="002A6496"/>
      </top>
      <bottom style="thin">
        <color rgb="00D4CFC3"/>
      </bottom>
    </border>
    <border>
      <left style="thin">
        <color rgb="00D4CFC3"/>
      </left>
      <right style="thin">
        <color rgb="002A6496"/>
      </right>
      <top style="thin">
        <color rgb="00D4CFC3"/>
      </top>
      <bottom style="thin">
        <color rgb="00D4CFC3"/>
      </bottom>
    </border>
    <border>
      <left style="thin">
        <color rgb="00D4CFC3"/>
      </left>
      <right style="thin">
        <color rgb="002A6496"/>
      </right>
      <top style="thin">
        <color rgb="00D4CFC3"/>
      </top>
      <bottom style="thin">
        <color rgb="002A6496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center" vertical="center" wrapText="1"/>
    </xf>
    <xf numFmtId="0" fontId="2" fillId="3" borderId="9" applyAlignment="1" pivotButton="0" quotePrefix="0" xfId="0">
      <alignment horizontal="center" vertical="center" wrapText="1"/>
    </xf>
    <xf numFmtId="0" fontId="2" fillId="3" borderId="1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6" fillId="3" borderId="5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center" vertical="center" wrapText="1"/>
    </xf>
    <xf numFmtId="0" fontId="6" fillId="3" borderId="12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5" fillId="3" borderId="6" applyAlignment="1" pivotButton="0" quotePrefix="0" xfId="0">
      <alignment horizontal="center" vertical="center" wrapText="1"/>
    </xf>
    <xf numFmtId="0" fontId="4" fillId="3" borderId="8" applyAlignment="1" pivotButton="0" quotePrefix="0" xfId="0">
      <alignment horizontal="center" vertical="center" wrapText="1"/>
    </xf>
    <xf numFmtId="0" fontId="8" fillId="3" borderId="10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9" fillId="2" borderId="5" applyAlignment="1" pivotButton="0" quotePrefix="0" xfId="0">
      <alignment horizontal="left" vertical="center" wrapText="1"/>
    </xf>
    <xf numFmtId="0" fontId="10" fillId="4" borderId="5" applyAlignment="1" pivotButton="0" quotePrefix="0" xfId="0">
      <alignment horizontal="center" vertical="center" wrapText="1"/>
    </xf>
    <xf numFmtId="0" fontId="11" fillId="5" borderId="5" applyAlignment="1" pivotButton="0" quotePrefix="0" xfId="0">
      <alignment horizontal="center" vertical="center" wrapText="1"/>
    </xf>
    <xf numFmtId="0" fontId="12" fillId="6" borderId="5" applyAlignment="1" pivotButton="0" quotePrefix="0" xfId="0">
      <alignment horizontal="center" vertical="center" wrapText="1"/>
    </xf>
    <xf numFmtId="0" fontId="11" fillId="7" borderId="5" applyAlignment="1" pivotButton="0" quotePrefix="0" xfId="0">
      <alignment horizontal="center" vertical="center" wrapText="1"/>
    </xf>
    <xf numFmtId="0" fontId="11" fillId="3" borderId="5" applyAlignment="1" pivotButton="0" quotePrefix="0" xfId="0">
      <alignment horizontal="center" vertical="center" wrapText="1"/>
    </xf>
    <xf numFmtId="0" fontId="13" fillId="7" borderId="5" applyAlignment="1" pivotButton="0" quotePrefix="0" xfId="0">
      <alignment horizontal="center" vertical="center" wrapText="1"/>
    </xf>
    <xf numFmtId="0" fontId="14" fillId="5" borderId="5" applyAlignment="1" pivotButton="0" quotePrefix="0" xfId="0">
      <alignment horizontal="center" vertical="center" wrapText="1"/>
    </xf>
    <xf numFmtId="0" fontId="14" fillId="3" borderId="5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 wrapText="1"/>
    </xf>
    <xf numFmtId="0" fontId="15" fillId="5" borderId="5" applyAlignment="1" pivotButton="0" quotePrefix="0" xfId="0">
      <alignment horizontal="center" vertical="center" wrapText="1"/>
    </xf>
    <xf numFmtId="0" fontId="16" fillId="5" borderId="5" applyAlignment="1" pivotButton="0" quotePrefix="0" xfId="0">
      <alignment horizontal="center" vertical="center" wrapText="1"/>
    </xf>
    <xf numFmtId="0" fontId="16" fillId="7" borderId="5" applyAlignment="1" pivotButton="0" quotePrefix="0" xfId="0">
      <alignment horizontal="center" vertical="center" wrapText="1"/>
    </xf>
    <xf numFmtId="0" fontId="17" fillId="7" borderId="5" applyAlignment="1" pivotButton="0" quotePrefix="0" xfId="0">
      <alignment horizontal="center" vertical="center" wrapText="1"/>
    </xf>
    <xf numFmtId="0" fontId="15" fillId="3" borderId="5" applyAlignment="1" pivotButton="0" quotePrefix="0" xfId="0">
      <alignment horizontal="center" vertical="center" wrapText="1"/>
    </xf>
    <xf numFmtId="0" fontId="16" fillId="3" borderId="5" applyAlignment="1" pivotButton="0" quotePrefix="0" xfId="0">
      <alignment horizontal="center" vertical="center" wrapText="1"/>
    </xf>
    <xf numFmtId="0" fontId="18" fillId="5" borderId="5" applyAlignment="1" pivotButton="0" quotePrefix="0" xfId="0">
      <alignment horizontal="left" vertical="center" wrapText="1"/>
    </xf>
    <xf numFmtId="0" fontId="11" fillId="5" borderId="5" applyAlignment="1" pivotButton="0" quotePrefix="0" xfId="0">
      <alignment horizontal="left" vertical="center" wrapText="1"/>
    </xf>
    <xf numFmtId="0" fontId="13" fillId="7" borderId="5" applyAlignment="1" pivotButton="0" quotePrefix="0" xfId="0">
      <alignment horizontal="left" vertical="center" wrapText="1"/>
    </xf>
    <xf numFmtId="0" fontId="18" fillId="3" borderId="5" applyAlignment="1" pivotButton="0" quotePrefix="0" xfId="0">
      <alignment horizontal="left" vertical="center" wrapText="1"/>
    </xf>
    <xf numFmtId="0" fontId="11" fillId="3" borderId="5" applyAlignment="1" pivotButton="0" quotePrefix="0" xfId="0">
      <alignment horizontal="left" vertical="center" wrapText="1"/>
    </xf>
    <xf numFmtId="0" fontId="12" fillId="8" borderId="5" applyAlignment="1" pivotButton="0" quotePrefix="0" xfId="0">
      <alignment horizontal="left" vertical="center" wrapText="1"/>
    </xf>
    <xf numFmtId="0" fontId="19" fillId="6" borderId="5" applyAlignment="1" pivotButton="0" quotePrefix="0" xfId="0">
      <alignment horizontal="center" vertical="center" wrapText="1"/>
    </xf>
    <xf numFmtId="0" fontId="20" fillId="8" borderId="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vs Budget — 26-Week Trend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Charts'!C2</f>
            </strRef>
          </tx>
          <spPr>
            <a:solidFill>
              <a:srgbClr val="E8590C"/>
            </a:solidFill>
            <a:ln>
              <a:prstDash val="solid"/>
            </a:ln>
          </spPr>
          <cat>
            <numRef>
              <f>'📈 Charts'!$B$3:$B$28</f>
            </numRef>
          </cat>
          <val>
            <numRef>
              <f>'📈 Charts'!$C$3:$C$28</f>
            </numRef>
          </val>
        </ser>
        <ser>
          <idx val="1"/>
          <order val="1"/>
          <tx>
            <strRef>
              <f>'📈 Charts'!D2</f>
            </strRef>
          </tx>
          <spPr>
            <a:solidFill>
              <a:srgbClr val="2A6496"/>
            </a:solidFill>
            <a:ln>
              <a:prstDash val="solid"/>
            </a:ln>
          </spPr>
          <cat>
            <numRef>
              <f>'📈 Charts'!$B$3:$B$28</f>
            </numRef>
          </cat>
          <val>
            <numRef>
              <f>'📈 Charts'!$D$3:$D$28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(₹M)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Margin Trends — GPM / EBITDA / OPEX %</a:t>
            </a:r>
          </a:p>
        </rich>
      </tx>
    </title>
    <plotArea>
      <lineChart>
        <grouping val="standard"/>
        <ser>
          <idx val="0"/>
          <order val="0"/>
          <tx>
            <strRef>
              <f>'📈 Charts'!C32</f>
            </strRef>
          </tx>
          <spPr>
            <a:ln>
              <a:solidFill>
                <a:srgbClr val="2D7A4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Charts'!$B$33:$B$58</f>
            </numRef>
          </cat>
          <val>
            <numRef>
              <f>'📈 Charts'!$C$33:$C$58</f>
            </numRef>
          </val>
        </ser>
        <ser>
          <idx val="1"/>
          <order val="1"/>
          <tx>
            <strRef>
              <f>'📈 Charts'!D32</f>
            </strRef>
          </tx>
          <spPr>
            <a:ln>
              <a:solidFill>
                <a:srgbClr val="2A649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Charts'!$B$33:$B$58</f>
            </numRef>
          </cat>
          <val>
            <numRef>
              <f>'📈 Charts'!$D$33:$D$58</f>
            </numRef>
          </val>
        </ser>
        <ser>
          <idx val="2"/>
          <order val="2"/>
          <tx>
            <strRef>
              <f>'📈 Charts'!E32</f>
            </strRef>
          </tx>
          <spPr>
            <a:ln>
              <a:solidFill>
                <a:srgbClr val="E8590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Charts'!$B$33:$B$58</f>
            </numRef>
          </cat>
          <val>
            <numRef>
              <f>'📈 Charts'!$E$33:$E$58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Margin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30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30</row>
      <rowOff>0</rowOff>
    </from>
    <ext cx="792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6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" customWidth="1" min="9" max="9"/>
  </cols>
  <sheetData>
    <row r="1" ht="8" customHeight="1"/>
    <row r="2" ht="38" customHeight="1">
      <c r="B2" s="1" t="inlineStr">
        <is>
          <t>INDIA OPERATIONS  ·  WEEKLY KPI DASHBOARD</t>
        </is>
      </c>
      <c r="C2" s="2" t="n"/>
      <c r="D2" s="2" t="n"/>
      <c r="E2" s="2" t="n"/>
      <c r="F2" s="2" t="n"/>
      <c r="G2" s="2" t="n"/>
      <c r="H2" s="2" t="n"/>
    </row>
    <row r="3" ht="8" customHeight="1"/>
    <row r="4" ht="16" customHeight="1">
      <c r="B4" s="3" t="inlineStr">
        <is>
          <t>WEEKLY REVENUE</t>
        </is>
      </c>
      <c r="C4" s="4" t="inlineStr">
        <is>
          <t>GROSS MARGIN</t>
        </is>
      </c>
      <c r="D4" s="5" t="inlineStr">
        <is>
          <t>EBITDA MARGIN</t>
        </is>
      </c>
      <c r="E4" s="6" t="inlineStr">
        <is>
          <t>VS BUDGET</t>
        </is>
      </c>
      <c r="F4" s="6" t="inlineStr">
        <is>
          <t>COST / ORDER</t>
        </is>
      </c>
      <c r="G4" s="7" t="inlineStr">
        <is>
          <t>TOTAL ORDERS</t>
        </is>
      </c>
    </row>
    <row r="5" ht="28" customHeight="1">
      <c r="B5" s="8" t="inlineStr">
        <is>
          <t>₹26.1M</t>
        </is>
      </c>
      <c r="C5" s="9" t="inlineStr">
        <is>
          <t>37.3%</t>
        </is>
      </c>
      <c r="D5" s="10" t="inlineStr">
        <is>
          <t>16.0%</t>
        </is>
      </c>
      <c r="E5" s="11" t="inlineStr">
        <is>
          <t>+7.0%</t>
        </is>
      </c>
      <c r="F5" s="11" t="inlineStr">
        <is>
          <t>₹47.8</t>
        </is>
      </c>
      <c r="G5" s="12" t="inlineStr">
        <is>
          <t>114,926</t>
        </is>
      </c>
    </row>
    <row r="6" ht="16" customHeight="1">
      <c r="B6" s="13" t="inlineStr">
        <is>
          <t>▼ 3.3% WoW</t>
        </is>
      </c>
      <c r="C6" s="14" t="inlineStr">
        <is>
          <t>Target: 38–42%</t>
        </is>
      </c>
      <c r="D6" s="15" t="inlineStr">
        <is>
          <t>▼ 2.8pp WoW</t>
        </is>
      </c>
      <c r="E6" s="16" t="inlineStr">
        <is>
          <t>Above plan ✓</t>
        </is>
      </c>
      <c r="F6" s="16" t="inlineStr">
        <is>
          <t>✓ Within limit</t>
        </is>
      </c>
      <c r="G6" s="17" t="inlineStr">
        <is>
          <t>▼ WoW</t>
        </is>
      </c>
    </row>
    <row r="7" ht="8" customHeight="1"/>
    <row r="8" ht="18" customHeight="1"/>
    <row r="9" ht="22" customHeight="1">
      <c r="B9" s="18" t="inlineStr">
        <is>
          <t xml:space="preserve">  WEEKLY KPI SUMMARY  (All 26 Weeks)</t>
        </is>
      </c>
    </row>
    <row r="10" ht="18" customHeight="1">
      <c r="B10" s="19" t="inlineStr">
        <is>
          <t>Week</t>
        </is>
      </c>
      <c r="C10" s="19" t="inlineStr">
        <is>
          <t>Revenue (₹M)</t>
        </is>
      </c>
      <c r="D10" s="19" t="inlineStr">
        <is>
          <t>vs Budget %</t>
        </is>
      </c>
      <c r="E10" s="19" t="inlineStr">
        <is>
          <t>GPM %</t>
        </is>
      </c>
      <c r="F10" s="19" t="inlineStr">
        <is>
          <t>EBITDA %</t>
        </is>
      </c>
      <c r="G10" s="19" t="inlineStr">
        <is>
          <t>Cost/Order ₹</t>
        </is>
      </c>
      <c r="H10" s="19" t="inlineStr">
        <is>
          <t>Orders</t>
        </is>
      </c>
    </row>
    <row r="11" ht="16" customHeight="1">
      <c r="B11" s="20" t="inlineStr">
        <is>
          <t>W1  2024-01-01</t>
        </is>
      </c>
      <c r="C11" s="20" t="inlineStr">
        <is>
          <t>₹20.69M</t>
        </is>
      </c>
      <c r="D11" s="21" t="inlineStr">
        <is>
          <t>-0.40%</t>
        </is>
      </c>
      <c r="E11" s="20" t="inlineStr">
        <is>
          <t>38.2%</t>
        </is>
      </c>
      <c r="F11" s="20" t="inlineStr">
        <is>
          <t>16.7%</t>
        </is>
      </c>
      <c r="G11" s="22" t="inlineStr">
        <is>
          <t>₹47.6</t>
        </is>
      </c>
      <c r="H11" s="20" t="inlineStr">
        <is>
          <t>89,950</t>
        </is>
      </c>
    </row>
    <row r="12" ht="16" customHeight="1">
      <c r="B12" s="23" t="inlineStr">
        <is>
          <t>W2  2024-01-08</t>
        </is>
      </c>
      <c r="C12" s="23" t="inlineStr">
        <is>
          <t>₹20.57M</t>
        </is>
      </c>
      <c r="D12" s="21" t="inlineStr">
        <is>
          <t>-1.69%</t>
        </is>
      </c>
      <c r="E12" s="23" t="inlineStr">
        <is>
          <t>38.9%</t>
        </is>
      </c>
      <c r="F12" s="23" t="inlineStr">
        <is>
          <t>19.0%</t>
        </is>
      </c>
      <c r="G12" s="22" t="inlineStr">
        <is>
          <t>₹49.3</t>
        </is>
      </c>
      <c r="H12" s="23" t="inlineStr">
        <is>
          <t>90,042</t>
        </is>
      </c>
    </row>
    <row r="13" ht="16" customHeight="1">
      <c r="B13" s="20" t="inlineStr">
        <is>
          <t>W3  2024-01-15</t>
        </is>
      </c>
      <c r="C13" s="20" t="inlineStr">
        <is>
          <t>₹21.04M</t>
        </is>
      </c>
      <c r="D13" s="21" t="inlineStr">
        <is>
          <t>-0.14%</t>
        </is>
      </c>
      <c r="E13" s="20" t="inlineStr">
        <is>
          <t>38.1%</t>
        </is>
      </c>
      <c r="F13" s="20" t="inlineStr">
        <is>
          <t>15.6%</t>
        </is>
      </c>
      <c r="G13" s="22" t="inlineStr">
        <is>
          <t>₹45.8</t>
        </is>
      </c>
      <c r="H13" s="20" t="inlineStr">
        <is>
          <t>92,896</t>
        </is>
      </c>
    </row>
    <row r="14" ht="16" customHeight="1">
      <c r="B14" s="23" t="inlineStr">
        <is>
          <t>W4  2024-01-22</t>
        </is>
      </c>
      <c r="C14" s="23" t="inlineStr">
        <is>
          <t>₹20.75M</t>
        </is>
      </c>
      <c r="D14" s="21" t="inlineStr">
        <is>
          <t>-2.18%</t>
        </is>
      </c>
      <c r="E14" s="23" t="inlineStr">
        <is>
          <t>39.5%</t>
        </is>
      </c>
      <c r="F14" s="23" t="inlineStr">
        <is>
          <t>19.9%</t>
        </is>
      </c>
      <c r="G14" s="22" t="inlineStr">
        <is>
          <t>₹47.1</t>
        </is>
      </c>
      <c r="H14" s="23" t="inlineStr">
        <is>
          <t>93,695</t>
        </is>
      </c>
    </row>
    <row r="15" ht="16" customHeight="1">
      <c r="B15" s="20" t="inlineStr">
        <is>
          <t>W5  2024-01-29</t>
        </is>
      </c>
      <c r="C15" s="20" t="inlineStr">
        <is>
          <t>₹22.56M</t>
        </is>
      </c>
      <c r="D15" s="24" t="inlineStr">
        <is>
          <t>+5.64%</t>
        </is>
      </c>
      <c r="E15" s="20" t="inlineStr">
        <is>
          <t>37.9%</t>
        </is>
      </c>
      <c r="F15" s="20" t="inlineStr">
        <is>
          <t>15.9%</t>
        </is>
      </c>
      <c r="G15" s="22" t="inlineStr">
        <is>
          <t>₹47.2</t>
        </is>
      </c>
      <c r="H15" s="20" t="inlineStr">
        <is>
          <t>92,916</t>
        </is>
      </c>
    </row>
    <row r="16" ht="16" customHeight="1">
      <c r="B16" s="23" t="inlineStr">
        <is>
          <t>W6  2024-02-05</t>
        </is>
      </c>
      <c r="C16" s="23" t="inlineStr">
        <is>
          <t>₹20.90M</t>
        </is>
      </c>
      <c r="D16" s="21" t="inlineStr">
        <is>
          <t>-2.83%</t>
        </is>
      </c>
      <c r="E16" s="23" t="inlineStr">
        <is>
          <t>37.6%</t>
        </is>
      </c>
      <c r="F16" s="23" t="inlineStr">
        <is>
          <t>17.4%</t>
        </is>
      </c>
      <c r="G16" s="22" t="inlineStr">
        <is>
          <t>₹50.0</t>
        </is>
      </c>
      <c r="H16" s="23" t="inlineStr">
        <is>
          <t>97,367</t>
        </is>
      </c>
    </row>
    <row r="17" ht="16" customHeight="1">
      <c r="B17" s="20" t="inlineStr">
        <is>
          <t>W7  2024-02-12</t>
        </is>
      </c>
      <c r="C17" s="20" t="inlineStr">
        <is>
          <t>₹21.21M</t>
        </is>
      </c>
      <c r="D17" s="21" t="inlineStr">
        <is>
          <t>-2.04%</t>
        </is>
      </c>
      <c r="E17" s="20" t="inlineStr">
        <is>
          <t>38.7%</t>
        </is>
      </c>
      <c r="F17" s="20" t="inlineStr">
        <is>
          <t>17.3%</t>
        </is>
      </c>
      <c r="G17" s="22" t="inlineStr">
        <is>
          <t>₹51.5</t>
        </is>
      </c>
      <c r="H17" s="20" t="inlineStr">
        <is>
          <t>98,120</t>
        </is>
      </c>
    </row>
    <row r="18" ht="16" customHeight="1">
      <c r="B18" s="23" t="inlineStr">
        <is>
          <t>W8  2024-02-19</t>
        </is>
      </c>
      <c r="C18" s="23" t="inlineStr">
        <is>
          <t>₹23.56M</t>
        </is>
      </c>
      <c r="D18" s="24" t="inlineStr">
        <is>
          <t>+8.10%</t>
        </is>
      </c>
      <c r="E18" s="23" t="inlineStr">
        <is>
          <t>39.6%</t>
        </is>
      </c>
      <c r="F18" s="23" t="inlineStr">
        <is>
          <t>18.4%</t>
        </is>
      </c>
      <c r="G18" s="22" t="inlineStr">
        <is>
          <t>₹46.0</t>
        </is>
      </c>
      <c r="H18" s="23" t="inlineStr">
        <is>
          <t>93,046</t>
        </is>
      </c>
    </row>
    <row r="19" ht="16" customHeight="1">
      <c r="B19" s="20" t="inlineStr">
        <is>
          <t>W9  2024-02-26</t>
        </is>
      </c>
      <c r="C19" s="20" t="inlineStr">
        <is>
          <t>₹22.85M</t>
        </is>
      </c>
      <c r="D19" s="24" t="inlineStr">
        <is>
          <t>+4.16%</t>
        </is>
      </c>
      <c r="E19" s="20" t="inlineStr">
        <is>
          <t>37.8%</t>
        </is>
      </c>
      <c r="F19" s="20" t="inlineStr">
        <is>
          <t>16.5%</t>
        </is>
      </c>
      <c r="G19" s="22" t="inlineStr">
        <is>
          <t>₹47.6</t>
        </is>
      </c>
      <c r="H19" s="20" t="inlineStr">
        <is>
          <t>97,561</t>
        </is>
      </c>
    </row>
    <row r="20" ht="16" customHeight="1">
      <c r="B20" s="23" t="inlineStr">
        <is>
          <t>W10  2024-03-04</t>
        </is>
      </c>
      <c r="C20" s="23" t="inlineStr">
        <is>
          <t>₹24.32M</t>
        </is>
      </c>
      <c r="D20" s="24" t="inlineStr">
        <is>
          <t>+10.11%</t>
        </is>
      </c>
      <c r="E20" s="23" t="inlineStr">
        <is>
          <t>37.6%</t>
        </is>
      </c>
      <c r="F20" s="23" t="inlineStr">
        <is>
          <t>15.8%</t>
        </is>
      </c>
      <c r="G20" s="22" t="inlineStr">
        <is>
          <t>₹46.0</t>
        </is>
      </c>
      <c r="H20" s="23" t="inlineStr">
        <is>
          <t>98,185</t>
        </is>
      </c>
    </row>
    <row r="21" ht="16" customHeight="1">
      <c r="B21" s="20" t="inlineStr">
        <is>
          <t>W11  2024-03-11</t>
        </is>
      </c>
      <c r="C21" s="20" t="inlineStr">
        <is>
          <t>₹21.73M</t>
        </is>
      </c>
      <c r="D21" s="21" t="inlineStr">
        <is>
          <t>-2.23%</t>
        </is>
      </c>
      <c r="E21" s="20" t="inlineStr">
        <is>
          <t>38.0%</t>
        </is>
      </c>
      <c r="F21" s="20" t="inlineStr">
        <is>
          <t>16.7%</t>
        </is>
      </c>
      <c r="G21" s="22" t="inlineStr">
        <is>
          <t>₹45.3</t>
        </is>
      </c>
      <c r="H21" s="20" t="inlineStr">
        <is>
          <t>99,581</t>
        </is>
      </c>
    </row>
    <row r="22" ht="16" customHeight="1">
      <c r="B22" s="23" t="inlineStr">
        <is>
          <t>W12  2024-03-18</t>
        </is>
      </c>
      <c r="C22" s="23" t="inlineStr">
        <is>
          <t>₹23.06M</t>
        </is>
      </c>
      <c r="D22" s="24" t="inlineStr">
        <is>
          <t>+3.05%</t>
        </is>
      </c>
      <c r="E22" s="23" t="inlineStr">
        <is>
          <t>38.4%</t>
        </is>
      </c>
      <c r="F22" s="23" t="inlineStr">
        <is>
          <t>17.6%</t>
        </is>
      </c>
      <c r="G22" s="22" t="inlineStr">
        <is>
          <t>₹47.2</t>
        </is>
      </c>
      <c r="H22" s="23" t="inlineStr">
        <is>
          <t>98,704</t>
        </is>
      </c>
    </row>
    <row r="23" ht="16" customHeight="1">
      <c r="B23" s="20" t="inlineStr">
        <is>
          <t>W13  2024-03-25</t>
        </is>
      </c>
      <c r="C23" s="20" t="inlineStr">
        <is>
          <t>₹25.65M</t>
        </is>
      </c>
      <c r="D23" s="24" t="inlineStr">
        <is>
          <t>+13.90%</t>
        </is>
      </c>
      <c r="E23" s="20" t="inlineStr">
        <is>
          <t>38.2%</t>
        </is>
      </c>
      <c r="F23" s="20" t="inlineStr">
        <is>
          <t>16.9%</t>
        </is>
      </c>
      <c r="G23" s="22" t="inlineStr">
        <is>
          <t>₹46.1</t>
        </is>
      </c>
      <c r="H23" s="20" t="inlineStr">
        <is>
          <t>113,077</t>
        </is>
      </c>
    </row>
    <row r="24" ht="16" customHeight="1">
      <c r="B24" s="23" t="inlineStr">
        <is>
          <t>W14  2024-04-01</t>
        </is>
      </c>
      <c r="C24" s="23" t="inlineStr">
        <is>
          <t>₹26.20M</t>
        </is>
      </c>
      <c r="D24" s="24" t="inlineStr">
        <is>
          <t>+15.57%</t>
        </is>
      </c>
      <c r="E24" s="23" t="inlineStr">
        <is>
          <t>38.1%</t>
        </is>
      </c>
      <c r="F24" s="23" t="inlineStr">
        <is>
          <t>17.5%</t>
        </is>
      </c>
      <c r="G24" s="22" t="inlineStr">
        <is>
          <t>₹47.0</t>
        </is>
      </c>
      <c r="H24" s="23" t="inlineStr">
        <is>
          <t>108,200</t>
        </is>
      </c>
    </row>
    <row r="25" ht="16" customHeight="1">
      <c r="B25" s="20" t="inlineStr">
        <is>
          <t>W15  2024-04-08</t>
        </is>
      </c>
      <c r="C25" s="20" t="inlineStr">
        <is>
          <t>₹25.45M</t>
        </is>
      </c>
      <c r="D25" s="24" t="inlineStr">
        <is>
          <t>+11.57%</t>
        </is>
      </c>
      <c r="E25" s="20" t="inlineStr">
        <is>
          <t>38.3%</t>
        </is>
      </c>
      <c r="F25" s="20" t="inlineStr">
        <is>
          <t>16.0%</t>
        </is>
      </c>
      <c r="G25" s="22" t="inlineStr">
        <is>
          <t>₹45.7</t>
        </is>
      </c>
      <c r="H25" s="20" t="inlineStr">
        <is>
          <t>111,005</t>
        </is>
      </c>
    </row>
    <row r="26" ht="16" customHeight="1">
      <c r="B26" s="23" t="inlineStr">
        <is>
          <t>W16  2024-04-15</t>
        </is>
      </c>
      <c r="C26" s="23" t="inlineStr">
        <is>
          <t>₹27.61M</t>
        </is>
      </c>
      <c r="D26" s="24" t="inlineStr">
        <is>
          <t>+20.26%</t>
        </is>
      </c>
      <c r="E26" s="23" t="inlineStr">
        <is>
          <t>39.1%</t>
        </is>
      </c>
      <c r="F26" s="23" t="inlineStr">
        <is>
          <t>17.6%</t>
        </is>
      </c>
      <c r="G26" s="22" t="inlineStr">
        <is>
          <t>₹48.4</t>
        </is>
      </c>
      <c r="H26" s="23" t="inlineStr">
        <is>
          <t>112,309</t>
        </is>
      </c>
    </row>
    <row r="27" ht="16" customHeight="1">
      <c r="B27" s="20" t="inlineStr">
        <is>
          <t>W17  2024-04-22</t>
        </is>
      </c>
      <c r="C27" s="20" t="inlineStr">
        <is>
          <t>₹22.90M</t>
        </is>
      </c>
      <c r="D27" s="21" t="inlineStr">
        <is>
          <t>-0.90%</t>
        </is>
      </c>
      <c r="E27" s="20" t="inlineStr">
        <is>
          <t>37.8%</t>
        </is>
      </c>
      <c r="F27" s="20" t="inlineStr">
        <is>
          <t>16.3%</t>
        </is>
      </c>
      <c r="G27" s="22" t="inlineStr">
        <is>
          <t>₹51.4</t>
        </is>
      </c>
      <c r="H27" s="20" t="inlineStr">
        <is>
          <t>101,472</t>
        </is>
      </c>
    </row>
    <row r="28" ht="16" customHeight="1">
      <c r="B28" s="23" t="inlineStr">
        <is>
          <t>W18  2024-04-29</t>
        </is>
      </c>
      <c r="C28" s="23" t="inlineStr">
        <is>
          <t>₹23.82M</t>
        </is>
      </c>
      <c r="D28" s="24" t="inlineStr">
        <is>
          <t>+2.46%</t>
        </is>
      </c>
      <c r="E28" s="23" t="inlineStr">
        <is>
          <t>36.9%</t>
        </is>
      </c>
      <c r="F28" s="23" t="inlineStr">
        <is>
          <t>15.4%</t>
        </is>
      </c>
      <c r="G28" s="22" t="inlineStr">
        <is>
          <t>₹47.8</t>
        </is>
      </c>
      <c r="H28" s="23" t="inlineStr">
        <is>
          <t>102,933</t>
        </is>
      </c>
    </row>
    <row r="29" ht="16" customHeight="1">
      <c r="B29" s="20" t="inlineStr">
        <is>
          <t>W19  2024-05-06</t>
        </is>
      </c>
      <c r="C29" s="20" t="inlineStr">
        <is>
          <t>₹24.62M</t>
        </is>
      </c>
      <c r="D29" s="24" t="inlineStr">
        <is>
          <t>+5.22%</t>
        </is>
      </c>
      <c r="E29" s="20" t="inlineStr">
        <is>
          <t>38.1%</t>
        </is>
      </c>
      <c r="F29" s="20" t="inlineStr">
        <is>
          <t>16.6%</t>
        </is>
      </c>
      <c r="G29" s="22" t="inlineStr">
        <is>
          <t>₹50.8</t>
        </is>
      </c>
      <c r="H29" s="20" t="inlineStr">
        <is>
          <t>100,394</t>
        </is>
      </c>
    </row>
    <row r="30" ht="16" customHeight="1">
      <c r="B30" s="23" t="inlineStr">
        <is>
          <t>W20  2024-05-13</t>
        </is>
      </c>
      <c r="C30" s="23" t="inlineStr">
        <is>
          <t>₹24.31M</t>
        </is>
      </c>
      <c r="D30" s="24" t="inlineStr">
        <is>
          <t>+3.28%</t>
        </is>
      </c>
      <c r="E30" s="23" t="inlineStr">
        <is>
          <t>38.0%</t>
        </is>
      </c>
      <c r="F30" s="23" t="inlineStr">
        <is>
          <t>17.1%</t>
        </is>
      </c>
      <c r="G30" s="22" t="inlineStr">
        <is>
          <t>₹48.1</t>
        </is>
      </c>
      <c r="H30" s="23" t="inlineStr">
        <is>
          <t>99,491</t>
        </is>
      </c>
    </row>
    <row r="31" ht="16" customHeight="1">
      <c r="B31" s="20" t="inlineStr">
        <is>
          <t>W21  2024-05-20</t>
        </is>
      </c>
      <c r="C31" s="20" t="inlineStr">
        <is>
          <t>₹24.29M</t>
        </is>
      </c>
      <c r="D31" s="24" t="inlineStr">
        <is>
          <t>+2.54%</t>
        </is>
      </c>
      <c r="E31" s="20" t="inlineStr">
        <is>
          <t>39.9%</t>
        </is>
      </c>
      <c r="F31" s="20" t="inlineStr">
        <is>
          <t>18.2%</t>
        </is>
      </c>
      <c r="G31" s="22" t="inlineStr">
        <is>
          <t>₹50.2</t>
        </is>
      </c>
      <c r="H31" s="20" t="inlineStr">
        <is>
          <t>103,161</t>
        </is>
      </c>
    </row>
    <row r="32" ht="16" customHeight="1">
      <c r="B32" s="23" t="inlineStr">
        <is>
          <t>W22  2024-05-27</t>
        </is>
      </c>
      <c r="C32" s="23" t="inlineStr">
        <is>
          <t>₹23.34M</t>
        </is>
      </c>
      <c r="D32" s="21" t="inlineStr">
        <is>
          <t>-2.04%</t>
        </is>
      </c>
      <c r="E32" s="23" t="inlineStr">
        <is>
          <t>39.0%</t>
        </is>
      </c>
      <c r="F32" s="23" t="inlineStr">
        <is>
          <t>16.8%</t>
        </is>
      </c>
      <c r="G32" s="22" t="inlineStr">
        <is>
          <t>₹48.4</t>
        </is>
      </c>
      <c r="H32" s="23" t="inlineStr">
        <is>
          <t>107,652</t>
        </is>
      </c>
    </row>
    <row r="33" ht="16" customHeight="1">
      <c r="B33" s="20" t="inlineStr">
        <is>
          <t>W23  2024-06-03</t>
        </is>
      </c>
      <c r="C33" s="20" t="inlineStr">
        <is>
          <t>₹24.60M</t>
        </is>
      </c>
      <c r="D33" s="24" t="inlineStr">
        <is>
          <t>+2.61%</t>
        </is>
      </c>
      <c r="E33" s="20" t="inlineStr">
        <is>
          <t>38.4%</t>
        </is>
      </c>
      <c r="F33" s="20" t="inlineStr">
        <is>
          <t>18.1%</t>
        </is>
      </c>
      <c r="G33" s="22" t="inlineStr">
        <is>
          <t>₹50.4</t>
        </is>
      </c>
      <c r="H33" s="20" t="inlineStr">
        <is>
          <t>103,900</t>
        </is>
      </c>
    </row>
    <row r="34" ht="16" customHeight="1">
      <c r="B34" s="23" t="inlineStr">
        <is>
          <t>W24  2024-06-10</t>
        </is>
      </c>
      <c r="C34" s="23" t="inlineStr">
        <is>
          <t>₹27.54M</t>
        </is>
      </c>
      <c r="D34" s="24" t="inlineStr">
        <is>
          <t>+14.18%</t>
        </is>
      </c>
      <c r="E34" s="23" t="inlineStr">
        <is>
          <t>38.0%</t>
        </is>
      </c>
      <c r="F34" s="23" t="inlineStr">
        <is>
          <t>16.4%</t>
        </is>
      </c>
      <c r="G34" s="22" t="inlineStr">
        <is>
          <t>₹50.1</t>
        </is>
      </c>
      <c r="H34" s="23" t="inlineStr">
        <is>
          <t>115,337</t>
        </is>
      </c>
    </row>
    <row r="35" ht="16" customHeight="1">
      <c r="B35" s="20" t="inlineStr">
        <is>
          <t>W25  2024-06-17</t>
        </is>
      </c>
      <c r="C35" s="20" t="inlineStr">
        <is>
          <t>₹26.99M</t>
        </is>
      </c>
      <c r="D35" s="24" t="inlineStr">
        <is>
          <t>+11.23%</t>
        </is>
      </c>
      <c r="E35" s="20" t="inlineStr">
        <is>
          <t>39.5%</t>
        </is>
      </c>
      <c r="F35" s="20" t="inlineStr">
        <is>
          <t>18.9%</t>
        </is>
      </c>
      <c r="G35" s="22" t="inlineStr">
        <is>
          <t>₹44.7</t>
        </is>
      </c>
      <c r="H35" s="20" t="inlineStr">
        <is>
          <t>117,016</t>
        </is>
      </c>
    </row>
    <row r="36" ht="16" customHeight="1">
      <c r="B36" s="23" t="inlineStr">
        <is>
          <t>W26  2024-06-24</t>
        </is>
      </c>
      <c r="C36" s="23" t="inlineStr">
        <is>
          <t>₹26.11M</t>
        </is>
      </c>
      <c r="D36" s="24" t="inlineStr">
        <is>
          <t>+6.97%</t>
        </is>
      </c>
      <c r="E36" s="23" t="inlineStr">
        <is>
          <t>37.3%</t>
        </is>
      </c>
      <c r="F36" s="23" t="inlineStr">
        <is>
          <t>16.0%</t>
        </is>
      </c>
      <c r="G36" s="22" t="inlineStr">
        <is>
          <t>₹47.8</t>
        </is>
      </c>
      <c r="H36" s="23" t="inlineStr">
        <is>
          <t>114,926</t>
        </is>
      </c>
    </row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2">
    <mergeCell ref="B2:H2"/>
    <mergeCell ref="B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5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22" customHeight="1">
      <c r="B1" s="18" t="inlineStr">
        <is>
          <t xml:space="preserve">  CHART DATA — Revenue vs Budget (26 Weeks)</t>
        </is>
      </c>
    </row>
    <row r="2" ht="15" customHeight="1">
      <c r="B2" s="19" t="inlineStr">
        <is>
          <t>Week</t>
        </is>
      </c>
      <c r="C2" s="19" t="inlineStr">
        <is>
          <t>Actual Rev ₹M</t>
        </is>
      </c>
      <c r="D2" s="19" t="inlineStr">
        <is>
          <t>Budget ₹M</t>
        </is>
      </c>
      <c r="E2" s="19" t="inlineStr">
        <is>
          <t>WoW Growth %</t>
        </is>
      </c>
    </row>
    <row r="3" ht="15" customHeight="1">
      <c r="B3" s="25" t="inlineStr">
        <is>
          <t>W1</t>
        </is>
      </c>
      <c r="C3" s="25" t="n">
        <v>20.69</v>
      </c>
      <c r="D3" s="25" t="n">
        <v>20.78</v>
      </c>
      <c r="E3" s="25" t="n"/>
    </row>
    <row r="4" ht="15" customHeight="1">
      <c r="B4" s="26" t="inlineStr">
        <is>
          <t>W2</t>
        </is>
      </c>
      <c r="C4" s="26" t="n">
        <v>20.57</v>
      </c>
      <c r="D4" s="26" t="n">
        <v>20.92</v>
      </c>
      <c r="E4" s="26" t="n">
        <v>-0.61</v>
      </c>
    </row>
    <row r="5" ht="15" customHeight="1">
      <c r="B5" s="25" t="inlineStr">
        <is>
          <t>W3</t>
        </is>
      </c>
      <c r="C5" s="25" t="n">
        <v>21.04</v>
      </c>
      <c r="D5" s="25" t="n">
        <v>21.07</v>
      </c>
      <c r="E5" s="25" t="n">
        <v>2.29</v>
      </c>
    </row>
    <row r="6" ht="15" customHeight="1">
      <c r="B6" s="26" t="inlineStr">
        <is>
          <t>W4</t>
        </is>
      </c>
      <c r="C6" s="26" t="n">
        <v>20.75</v>
      </c>
      <c r="D6" s="26" t="n">
        <v>21.21</v>
      </c>
      <c r="E6" s="26" t="n">
        <v>-1.37</v>
      </c>
    </row>
    <row r="7" ht="15" customHeight="1">
      <c r="B7" s="25" t="inlineStr">
        <is>
          <t>W5</t>
        </is>
      </c>
      <c r="C7" s="25" t="n">
        <v>22.56</v>
      </c>
      <c r="D7" s="25" t="n">
        <v>21.36</v>
      </c>
      <c r="E7" s="25" t="n">
        <v>8.74</v>
      </c>
    </row>
    <row r="8" ht="15" customHeight="1">
      <c r="B8" s="26" t="inlineStr">
        <is>
          <t>W6</t>
        </is>
      </c>
      <c r="C8" s="26" t="n">
        <v>20.9</v>
      </c>
      <c r="D8" s="26" t="n">
        <v>21.5</v>
      </c>
      <c r="E8" s="26" t="n">
        <v>-7.39</v>
      </c>
    </row>
    <row r="9" ht="15" customHeight="1">
      <c r="B9" s="25" t="inlineStr">
        <is>
          <t>W7</t>
        </is>
      </c>
      <c r="C9" s="25" t="n">
        <v>21.21</v>
      </c>
      <c r="D9" s="25" t="n">
        <v>21.65</v>
      </c>
      <c r="E9" s="25" t="n">
        <v>1.49</v>
      </c>
    </row>
    <row r="10" ht="15" customHeight="1">
      <c r="B10" s="26" t="inlineStr">
        <is>
          <t>W8</t>
        </is>
      </c>
      <c r="C10" s="26" t="n">
        <v>23.56</v>
      </c>
      <c r="D10" s="26" t="n">
        <v>21.79</v>
      </c>
      <c r="E10" s="26" t="n">
        <v>11.1</v>
      </c>
    </row>
    <row r="11" ht="15" customHeight="1">
      <c r="B11" s="25" t="inlineStr">
        <is>
          <t>W9</t>
        </is>
      </c>
      <c r="C11" s="25" t="n">
        <v>22.85</v>
      </c>
      <c r="D11" s="25" t="n">
        <v>21.94</v>
      </c>
      <c r="E11" s="25" t="n">
        <v>-3.01</v>
      </c>
    </row>
    <row r="12" ht="15" customHeight="1">
      <c r="B12" s="26" t="inlineStr">
        <is>
          <t>W10</t>
        </is>
      </c>
      <c r="C12" s="26" t="n">
        <v>24.32</v>
      </c>
      <c r="D12" s="26" t="n">
        <v>22.08</v>
      </c>
      <c r="E12" s="26" t="n">
        <v>6.41</v>
      </c>
    </row>
    <row r="13" ht="15" customHeight="1">
      <c r="B13" s="25" t="inlineStr">
        <is>
          <t>W11</t>
        </is>
      </c>
      <c r="C13" s="25" t="n">
        <v>21.73</v>
      </c>
      <c r="D13" s="25" t="n">
        <v>22.23</v>
      </c>
      <c r="E13" s="25" t="n">
        <v>-10.62</v>
      </c>
    </row>
    <row r="14" ht="15" customHeight="1">
      <c r="B14" s="26" t="inlineStr">
        <is>
          <t>W12</t>
        </is>
      </c>
      <c r="C14" s="26" t="n">
        <v>23.06</v>
      </c>
      <c r="D14" s="26" t="n">
        <v>22.38</v>
      </c>
      <c r="E14" s="26" t="n">
        <v>6.09</v>
      </c>
    </row>
    <row r="15" ht="15" customHeight="1">
      <c r="B15" s="25" t="inlineStr">
        <is>
          <t>W13</t>
        </is>
      </c>
      <c r="C15" s="25" t="n">
        <v>25.65</v>
      </c>
      <c r="D15" s="25" t="n">
        <v>22.52</v>
      </c>
      <c r="E15" s="25" t="n">
        <v>11.25</v>
      </c>
    </row>
    <row r="16" ht="15" customHeight="1">
      <c r="B16" s="26" t="inlineStr">
        <is>
          <t>W14</t>
        </is>
      </c>
      <c r="C16" s="26" t="n">
        <v>26.2</v>
      </c>
      <c r="D16" s="26" t="n">
        <v>22.67</v>
      </c>
      <c r="E16" s="26" t="n">
        <v>2.12</v>
      </c>
    </row>
    <row r="17" ht="15" customHeight="1">
      <c r="B17" s="25" t="inlineStr">
        <is>
          <t>W15</t>
        </is>
      </c>
      <c r="C17" s="25" t="n">
        <v>25.45</v>
      </c>
      <c r="D17" s="25" t="n">
        <v>22.81</v>
      </c>
      <c r="E17" s="25" t="n">
        <v>-2.84</v>
      </c>
    </row>
    <row r="18" ht="15" customHeight="1">
      <c r="B18" s="26" t="inlineStr">
        <is>
          <t>W16</t>
        </is>
      </c>
      <c r="C18" s="26" t="n">
        <v>27.61</v>
      </c>
      <c r="D18" s="26" t="n">
        <v>22.96</v>
      </c>
      <c r="E18" s="26" t="n">
        <v>8.48</v>
      </c>
    </row>
    <row r="19" ht="15" customHeight="1">
      <c r="B19" s="25" t="inlineStr">
        <is>
          <t>W17</t>
        </is>
      </c>
      <c r="C19" s="25" t="n">
        <v>22.9</v>
      </c>
      <c r="D19" s="25" t="n">
        <v>23.1</v>
      </c>
      <c r="E19" s="25" t="n">
        <v>-17.07</v>
      </c>
    </row>
    <row r="20" ht="15" customHeight="1">
      <c r="B20" s="26" t="inlineStr">
        <is>
          <t>W18</t>
        </is>
      </c>
      <c r="C20" s="26" t="n">
        <v>23.82</v>
      </c>
      <c r="D20" s="26" t="n">
        <v>23.25</v>
      </c>
      <c r="E20" s="26" t="n">
        <v>4.04</v>
      </c>
    </row>
    <row r="21" ht="15" customHeight="1">
      <c r="B21" s="25" t="inlineStr">
        <is>
          <t>W19</t>
        </is>
      </c>
      <c r="C21" s="25" t="n">
        <v>24.62</v>
      </c>
      <c r="D21" s="25" t="n">
        <v>23.39</v>
      </c>
      <c r="E21" s="25" t="n">
        <v>3.34</v>
      </c>
    </row>
    <row r="22" ht="15" customHeight="1">
      <c r="B22" s="26" t="inlineStr">
        <is>
          <t>W20</t>
        </is>
      </c>
      <c r="C22" s="26" t="n">
        <v>24.31</v>
      </c>
      <c r="D22" s="26" t="n">
        <v>23.54</v>
      </c>
      <c r="E22" s="26" t="n">
        <v>-1.24</v>
      </c>
    </row>
    <row r="23" ht="15" customHeight="1">
      <c r="B23" s="25" t="inlineStr">
        <is>
          <t>W21</t>
        </is>
      </c>
      <c r="C23" s="25" t="n">
        <v>24.29</v>
      </c>
      <c r="D23" s="25" t="n">
        <v>23.68</v>
      </c>
      <c r="E23" s="25" t="n">
        <v>-0.1</v>
      </c>
    </row>
    <row r="24" ht="15" customHeight="1">
      <c r="B24" s="26" t="inlineStr">
        <is>
          <t>W22</t>
        </is>
      </c>
      <c r="C24" s="26" t="n">
        <v>23.34</v>
      </c>
      <c r="D24" s="26" t="n">
        <v>23.83</v>
      </c>
      <c r="E24" s="26" t="n">
        <v>-3.88</v>
      </c>
    </row>
    <row r="25" ht="15" customHeight="1">
      <c r="B25" s="25" t="inlineStr">
        <is>
          <t>W23</t>
        </is>
      </c>
      <c r="C25" s="25" t="n">
        <v>24.6</v>
      </c>
      <c r="D25" s="25" t="n">
        <v>23.98</v>
      </c>
      <c r="E25" s="25" t="n">
        <v>5.38</v>
      </c>
    </row>
    <row r="26" ht="15" customHeight="1">
      <c r="B26" s="26" t="inlineStr">
        <is>
          <t>W24</t>
        </is>
      </c>
      <c r="C26" s="26" t="n">
        <v>27.54</v>
      </c>
      <c r="D26" s="26" t="n">
        <v>24.12</v>
      </c>
      <c r="E26" s="26" t="n">
        <v>11.96</v>
      </c>
    </row>
    <row r="27" ht="15" customHeight="1">
      <c r="B27" s="25" t="inlineStr">
        <is>
          <t>W25</t>
        </is>
      </c>
      <c r="C27" s="25" t="n">
        <v>26.99</v>
      </c>
      <c r="D27" s="25" t="n">
        <v>24.27</v>
      </c>
      <c r="E27" s="25" t="n">
        <v>-2</v>
      </c>
    </row>
    <row r="28" ht="15" customHeight="1">
      <c r="B28" s="26" t="inlineStr">
        <is>
          <t>W26</t>
        </is>
      </c>
      <c r="C28" s="26" t="n">
        <v>26.11</v>
      </c>
      <c r="D28" s="26" t="n">
        <v>24.41</v>
      </c>
      <c r="E28" s="26" t="n">
        <v>-3.26</v>
      </c>
    </row>
    <row r="29" ht="15" customHeight="1"/>
    <row r="30" ht="15" customHeight="1"/>
    <row r="31" ht="22" customHeight="1">
      <c r="B31" s="18" t="inlineStr">
        <is>
          <t xml:space="preserve">  GPM % Trend Data</t>
        </is>
      </c>
    </row>
    <row r="32" ht="15" customHeight="1">
      <c r="B32" s="19" t="inlineStr">
        <is>
          <t>Week</t>
        </is>
      </c>
      <c r="C32" s="19" t="inlineStr">
        <is>
          <t>GPM %</t>
        </is>
      </c>
      <c r="D32" s="19" t="inlineStr">
        <is>
          <t>EBITDA %</t>
        </is>
      </c>
      <c r="E32" s="19" t="inlineStr">
        <is>
          <t>OPEX %</t>
        </is>
      </c>
    </row>
    <row r="33" ht="15" customHeight="1">
      <c r="B33" s="27" t="inlineStr">
        <is>
          <t>W1</t>
        </is>
      </c>
      <c r="C33" s="27" t="n">
        <v>38.16</v>
      </c>
      <c r="D33" s="27" t="n">
        <v>16.67</v>
      </c>
      <c r="E33" s="27" t="n">
        <v>21.49</v>
      </c>
    </row>
    <row r="34" ht="15" customHeight="1">
      <c r="B34" s="27" t="inlineStr">
        <is>
          <t>W2</t>
        </is>
      </c>
      <c r="C34" s="27" t="n">
        <v>38.88</v>
      </c>
      <c r="D34" s="27" t="n">
        <v>19.04</v>
      </c>
      <c r="E34" s="27" t="n">
        <v>19.83</v>
      </c>
    </row>
    <row r="35" ht="15" customHeight="1">
      <c r="B35" s="27" t="inlineStr">
        <is>
          <t>W3</t>
        </is>
      </c>
      <c r="C35" s="27" t="n">
        <v>38.14</v>
      </c>
      <c r="D35" s="27" t="n">
        <v>15.6</v>
      </c>
      <c r="E35" s="27" t="n">
        <v>22.54</v>
      </c>
    </row>
    <row r="36" ht="15" customHeight="1">
      <c r="B36" s="27" t="inlineStr">
        <is>
          <t>W4</t>
        </is>
      </c>
      <c r="C36" s="27" t="n">
        <v>39.53</v>
      </c>
      <c r="D36" s="27" t="n">
        <v>19.86</v>
      </c>
      <c r="E36" s="27" t="n">
        <v>19.67</v>
      </c>
    </row>
    <row r="37" ht="15" customHeight="1">
      <c r="B37" s="27" t="inlineStr">
        <is>
          <t>W5</t>
        </is>
      </c>
      <c r="C37" s="27" t="n">
        <v>37.85</v>
      </c>
      <c r="D37" s="27" t="n">
        <v>15.88</v>
      </c>
      <c r="E37" s="27" t="n">
        <v>21.96</v>
      </c>
    </row>
    <row r="38" ht="15" customHeight="1">
      <c r="B38" s="27" t="inlineStr">
        <is>
          <t>W6</t>
        </is>
      </c>
      <c r="C38" s="27" t="n">
        <v>37.6</v>
      </c>
      <c r="D38" s="27" t="n">
        <v>17.42</v>
      </c>
      <c r="E38" s="27" t="n">
        <v>20.19</v>
      </c>
    </row>
    <row r="39" ht="15" customHeight="1">
      <c r="B39" s="27" t="inlineStr">
        <is>
          <t>W7</t>
        </is>
      </c>
      <c r="C39" s="27" t="n">
        <v>38.69</v>
      </c>
      <c r="D39" s="27" t="n">
        <v>17.31</v>
      </c>
      <c r="E39" s="27" t="n">
        <v>21.38</v>
      </c>
    </row>
    <row r="40" ht="15" customHeight="1">
      <c r="B40" s="27" t="inlineStr">
        <is>
          <t>W8</t>
        </is>
      </c>
      <c r="C40" s="27" t="n">
        <v>39.6</v>
      </c>
      <c r="D40" s="27" t="n">
        <v>18.45</v>
      </c>
      <c r="E40" s="27" t="n">
        <v>21.15</v>
      </c>
    </row>
    <row r="41" ht="15" customHeight="1">
      <c r="B41" s="27" t="inlineStr">
        <is>
          <t>W9</t>
        </is>
      </c>
      <c r="C41" s="27" t="n">
        <v>37.76</v>
      </c>
      <c r="D41" s="27" t="n">
        <v>16.52</v>
      </c>
      <c r="E41" s="27" t="n">
        <v>21.24</v>
      </c>
    </row>
    <row r="42" ht="15" customHeight="1">
      <c r="B42" s="27" t="inlineStr">
        <is>
          <t>W10</t>
        </is>
      </c>
      <c r="C42" s="27" t="n">
        <v>37.6</v>
      </c>
      <c r="D42" s="27" t="n">
        <v>15.76</v>
      </c>
      <c r="E42" s="27" t="n">
        <v>21.84</v>
      </c>
    </row>
    <row r="43" ht="15" customHeight="1">
      <c r="B43" s="27" t="inlineStr">
        <is>
          <t>W11</t>
        </is>
      </c>
      <c r="C43" s="27" t="n">
        <v>37.99</v>
      </c>
      <c r="D43" s="27" t="n">
        <v>16.68</v>
      </c>
      <c r="E43" s="27" t="n">
        <v>21.31</v>
      </c>
    </row>
    <row r="44" ht="15" customHeight="1">
      <c r="B44" s="27" t="inlineStr">
        <is>
          <t>W12</t>
        </is>
      </c>
      <c r="C44" s="27" t="n">
        <v>38.36</v>
      </c>
      <c r="D44" s="27" t="n">
        <v>17.62</v>
      </c>
      <c r="E44" s="27" t="n">
        <v>20.73</v>
      </c>
    </row>
    <row r="45" ht="15" customHeight="1">
      <c r="B45" s="27" t="inlineStr">
        <is>
          <t>W13</t>
        </is>
      </c>
      <c r="C45" s="27" t="n">
        <v>38.17</v>
      </c>
      <c r="D45" s="27" t="n">
        <v>16.86</v>
      </c>
      <c r="E45" s="27" t="n">
        <v>21.31</v>
      </c>
    </row>
    <row r="46" ht="15" customHeight="1">
      <c r="B46" s="27" t="inlineStr">
        <is>
          <t>W14</t>
        </is>
      </c>
      <c r="C46" s="27" t="n">
        <v>38.09</v>
      </c>
      <c r="D46" s="27" t="n">
        <v>17.5</v>
      </c>
      <c r="E46" s="27" t="n">
        <v>20.59</v>
      </c>
    </row>
    <row r="47" ht="15" customHeight="1">
      <c r="B47" s="27" t="inlineStr">
        <is>
          <t>W15</t>
        </is>
      </c>
      <c r="C47" s="27" t="n">
        <v>38.28</v>
      </c>
      <c r="D47" s="27" t="n">
        <v>16</v>
      </c>
      <c r="E47" s="27" t="n">
        <v>22.27</v>
      </c>
    </row>
    <row r="48" ht="15" customHeight="1">
      <c r="B48" s="27" t="inlineStr">
        <is>
          <t>W16</t>
        </is>
      </c>
      <c r="C48" s="27" t="n">
        <v>39.1</v>
      </c>
      <c r="D48" s="27" t="n">
        <v>17.6</v>
      </c>
      <c r="E48" s="27" t="n">
        <v>21.5</v>
      </c>
    </row>
    <row r="49" ht="15" customHeight="1">
      <c r="B49" s="27" t="inlineStr">
        <is>
          <t>W17</t>
        </is>
      </c>
      <c r="C49" s="27" t="n">
        <v>37.82</v>
      </c>
      <c r="D49" s="27" t="n">
        <v>16.28</v>
      </c>
      <c r="E49" s="27" t="n">
        <v>21.54</v>
      </c>
    </row>
    <row r="50" ht="15" customHeight="1">
      <c r="B50" s="27" t="inlineStr">
        <is>
          <t>W18</t>
        </is>
      </c>
      <c r="C50" s="27" t="n">
        <v>36.88</v>
      </c>
      <c r="D50" s="27" t="n">
        <v>15.45</v>
      </c>
      <c r="E50" s="27" t="n">
        <v>21.43</v>
      </c>
    </row>
    <row r="51" ht="15" customHeight="1">
      <c r="B51" s="27" t="inlineStr">
        <is>
          <t>W19</t>
        </is>
      </c>
      <c r="C51" s="27" t="n">
        <v>38.11</v>
      </c>
      <c r="D51" s="27" t="n">
        <v>16.65</v>
      </c>
      <c r="E51" s="27" t="n">
        <v>21.46</v>
      </c>
    </row>
    <row r="52" ht="15" customHeight="1">
      <c r="B52" s="27" t="inlineStr">
        <is>
          <t>W20</t>
        </is>
      </c>
      <c r="C52" s="27" t="n">
        <v>38.05</v>
      </c>
      <c r="D52" s="27" t="n">
        <v>17.11</v>
      </c>
      <c r="E52" s="27" t="n">
        <v>20.94</v>
      </c>
    </row>
    <row r="53" ht="15" customHeight="1">
      <c r="B53" s="27" t="inlineStr">
        <is>
          <t>W21</t>
        </is>
      </c>
      <c r="C53" s="27" t="n">
        <v>39.86</v>
      </c>
      <c r="D53" s="27" t="n">
        <v>18.23</v>
      </c>
      <c r="E53" s="27" t="n">
        <v>21.63</v>
      </c>
    </row>
    <row r="54" ht="15" customHeight="1">
      <c r="B54" s="27" t="inlineStr">
        <is>
          <t>W22</t>
        </is>
      </c>
      <c r="C54" s="27" t="n">
        <v>39</v>
      </c>
      <c r="D54" s="27" t="n">
        <v>16.75</v>
      </c>
      <c r="E54" s="27" t="n">
        <v>22.25</v>
      </c>
    </row>
    <row r="55" ht="15" customHeight="1">
      <c r="B55" s="27" t="inlineStr">
        <is>
          <t>W23</t>
        </is>
      </c>
      <c r="C55" s="27" t="n">
        <v>38.35</v>
      </c>
      <c r="D55" s="27" t="n">
        <v>18.05</v>
      </c>
      <c r="E55" s="27" t="n">
        <v>20.31</v>
      </c>
    </row>
    <row r="56" ht="15" customHeight="1">
      <c r="B56" s="27" t="inlineStr">
        <is>
          <t>W24</t>
        </is>
      </c>
      <c r="C56" s="27" t="n">
        <v>37.97</v>
      </c>
      <c r="D56" s="27" t="n">
        <v>16.44</v>
      </c>
      <c r="E56" s="27" t="n">
        <v>21.53</v>
      </c>
    </row>
    <row r="57" ht="15" customHeight="1">
      <c r="B57" s="27" t="inlineStr">
        <is>
          <t>W25</t>
        </is>
      </c>
      <c r="C57" s="27" t="n">
        <v>39.5</v>
      </c>
      <c r="D57" s="27" t="n">
        <v>18.87</v>
      </c>
      <c r="E57" s="27" t="n">
        <v>20.63</v>
      </c>
    </row>
    <row r="58" ht="15" customHeight="1">
      <c r="B58" s="27" t="inlineStr">
        <is>
          <t>W26</t>
        </is>
      </c>
      <c r="C58" s="27" t="n">
        <v>37.32</v>
      </c>
      <c r="D58" s="27" t="n">
        <v>16.03</v>
      </c>
      <c r="E58" s="27" t="n">
        <v>21.29</v>
      </c>
    </row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</sheetData>
  <mergeCells count="2">
    <mergeCell ref="B1:H1"/>
    <mergeCell ref="B31:H3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3" customWidth="1" min="9" max="9"/>
  </cols>
  <sheetData>
    <row r="1" ht="22" customHeight="1">
      <c r="B1" s="18" t="inlineStr">
        <is>
          <t xml:space="preserve">  REGION PERFORMANCE SCORECARD  (All-Period Average)</t>
        </is>
      </c>
    </row>
    <row r="2">
      <c r="B2" s="19" t="inlineStr">
        <is>
          <t>Region</t>
        </is>
      </c>
      <c r="C2" s="19" t="inlineStr">
        <is>
          <t>Total Revenue</t>
        </is>
      </c>
      <c r="D2" s="19" t="inlineStr">
        <is>
          <t>GPM %</t>
        </is>
      </c>
      <c r="E2" s="19" t="inlineStr">
        <is>
          <t>EBITDA %</t>
        </is>
      </c>
      <c r="F2" s="19" t="inlineStr">
        <is>
          <t>Total Orders</t>
        </is>
      </c>
      <c r="G2" s="19" t="inlineStr">
        <is>
          <t>Cost/Order ₹</t>
        </is>
      </c>
      <c r="H2" s="19" t="inlineStr">
        <is>
          <t>vs Budget %</t>
        </is>
      </c>
    </row>
    <row r="3" ht="20" customHeight="1">
      <c r="B3" s="28" t="inlineStr">
        <is>
          <t>Mumbai</t>
        </is>
      </c>
      <c r="C3" s="29" t="inlineStr">
        <is>
          <t>₹151.8M</t>
        </is>
      </c>
      <c r="D3" s="29" t="inlineStr">
        <is>
          <t>38.3%</t>
        </is>
      </c>
      <c r="E3" s="29" t="inlineStr">
        <is>
          <t>16.9%</t>
        </is>
      </c>
      <c r="F3" s="29" t="inlineStr">
        <is>
          <t>634,282</t>
        </is>
      </c>
      <c r="G3" s="30" t="inlineStr">
        <is>
          <t>₹51.0</t>
        </is>
      </c>
      <c r="H3" s="31" t="inlineStr">
        <is>
          <t>+5.3%</t>
        </is>
      </c>
    </row>
    <row r="4" ht="20" customHeight="1">
      <c r="B4" s="32" t="inlineStr">
        <is>
          <t>Delhi</t>
        </is>
      </c>
      <c r="C4" s="33" t="inlineStr">
        <is>
          <t>₹138.9M</t>
        </is>
      </c>
      <c r="D4" s="33" t="inlineStr">
        <is>
          <t>39.4%</t>
        </is>
      </c>
      <c r="E4" s="33" t="inlineStr">
        <is>
          <t>18.1%</t>
        </is>
      </c>
      <c r="F4" s="33" t="inlineStr">
        <is>
          <t>602,021</t>
        </is>
      </c>
      <c r="G4" s="30" t="inlineStr">
        <is>
          <t>₹48.8</t>
        </is>
      </c>
      <c r="H4" s="31" t="inlineStr">
        <is>
          <t>+4.3%</t>
        </is>
      </c>
    </row>
    <row r="5" ht="20" customHeight="1">
      <c r="B5" s="28" t="inlineStr">
        <is>
          <t>Bangalore</t>
        </is>
      </c>
      <c r="C5" s="29" t="inlineStr">
        <is>
          <t>₹127.9M</t>
        </is>
      </c>
      <c r="D5" s="29" t="inlineStr">
        <is>
          <t>37.8%</t>
        </is>
      </c>
      <c r="E5" s="29" t="inlineStr">
        <is>
          <t>16.7%</t>
        </is>
      </c>
      <c r="F5" s="29" t="inlineStr">
        <is>
          <t>560,422</t>
        </is>
      </c>
      <c r="G5" s="30" t="inlineStr">
        <is>
          <t>₹46.6</t>
        </is>
      </c>
      <c r="H5" s="31" t="inlineStr">
        <is>
          <t>+4.8%</t>
        </is>
      </c>
    </row>
    <row r="6" ht="20" customHeight="1">
      <c r="B6" s="32" t="inlineStr">
        <is>
          <t>Chennai</t>
        </is>
      </c>
      <c r="C6" s="33" t="inlineStr">
        <is>
          <t>₹104.3M</t>
        </is>
      </c>
      <c r="D6" s="33" t="inlineStr">
        <is>
          <t>38.4%</t>
        </is>
      </c>
      <c r="E6" s="33" t="inlineStr">
        <is>
          <t>17.2%</t>
        </is>
      </c>
      <c r="F6" s="33" t="inlineStr">
        <is>
          <t>452,557</t>
        </is>
      </c>
      <c r="G6" s="30" t="inlineStr">
        <is>
          <t>₹45.0</t>
        </is>
      </c>
      <c r="H6" s="31" t="inlineStr">
        <is>
          <t>+4.4%</t>
        </is>
      </c>
    </row>
    <row r="7" ht="20" customHeight="1">
      <c r="B7" s="28" t="inlineStr">
        <is>
          <t>Hyderabad</t>
        </is>
      </c>
      <c r="C7" s="29" t="inlineStr">
        <is>
          <t>₹93.7M</t>
        </is>
      </c>
      <c r="D7" s="29" t="inlineStr">
        <is>
          <t>37.6%</t>
        </is>
      </c>
      <c r="E7" s="29" t="inlineStr">
        <is>
          <t>16.5%</t>
        </is>
      </c>
      <c r="F7" s="29" t="inlineStr">
        <is>
          <t>403,654</t>
        </is>
      </c>
      <c r="G7" s="30" t="inlineStr">
        <is>
          <t>₹47.4</t>
        </is>
      </c>
      <c r="H7" s="31" t="inlineStr">
        <is>
          <t>+5.6%</t>
        </is>
      </c>
    </row>
  </sheetData>
  <mergeCells count="1">
    <mergeCell ref="B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60" customWidth="1" min="3" max="3"/>
    <col width="45" customWidth="1" min="4" max="4"/>
  </cols>
  <sheetData>
    <row r="1" ht="22" customHeight="1">
      <c r="B1" s="18" t="inlineStr">
        <is>
          <t xml:space="preserve">  MANAGEMENT COMMENTARY  ·  Latest Week: W26  (2024-06-24)</t>
        </is>
      </c>
    </row>
    <row r="2">
      <c r="B2" s="19" t="inlineStr">
        <is>
          <t>KPI</t>
        </is>
      </c>
      <c r="C2" s="19" t="inlineStr">
        <is>
          <t>Observation</t>
        </is>
      </c>
      <c r="D2" s="19" t="inlineStr">
        <is>
          <t>Recommended Action</t>
        </is>
      </c>
    </row>
    <row r="3" ht="36" customHeight="1">
      <c r="B3" s="34" t="inlineStr">
        <is>
          <t>Revenue vs Budget</t>
        </is>
      </c>
      <c r="C3" s="35" t="inlineStr">
        <is>
          <t>Revenue beat budget by 7.0%. Actual: ₹26.11M vs Plan: ₹24.41M.</t>
        </is>
      </c>
      <c r="D3" s="36" t="inlineStr">
        <is>
          <t>→  Continue current momentum.</t>
        </is>
      </c>
    </row>
    <row r="4" ht="36" customHeight="1">
      <c r="B4" s="37" t="inlineStr">
        <is>
          <t>Gross Profit Margin</t>
        </is>
      </c>
      <c r="C4" s="38" t="inlineStr">
        <is>
          <t>GPM at 37.3% — outside target band of 38–42%. Gross profit: ₹9.75M.</t>
        </is>
      </c>
      <c r="D4" s="39" t="inlineStr">
        <is>
          <t>→  Review COGS drivers. Engage Procurement on input cost reduction.</t>
        </is>
      </c>
    </row>
    <row r="5" ht="36" customHeight="1">
      <c r="B5" s="34" t="inlineStr">
        <is>
          <t>Cost per Order</t>
        </is>
      </c>
      <c r="C5" s="35" t="inlineStr">
        <is>
          <t>Fulfillment cost at ₹47.8 per order. Threshold: ₹52. Total fulfillment spend: ₹5.49M.</t>
        </is>
      </c>
      <c r="D5" s="36" t="inlineStr">
        <is>
          <t>→  Monitor carrier mix for efficiency gains.</t>
        </is>
      </c>
    </row>
    <row r="6" ht="36" customHeight="1">
      <c r="B6" s="37" t="inlineStr">
        <is>
          <t>EBITDA Margin</t>
        </is>
      </c>
      <c r="C6" s="38" t="inlineStr">
        <is>
          <t>EBITDA margin at 16.0%. EBITDA: ₹4.19M. OPEX running at 21.3% of revenue.</t>
        </is>
      </c>
      <c r="D6" s="36" t="inlineStr">
        <is>
          <t>→  Strong profitability. Evaluate reinvestment opportunities.</t>
        </is>
      </c>
    </row>
    <row r="7" ht="36" customHeight="1">
      <c r="B7" s="34" t="inlineStr">
        <is>
          <t>Category Returns</t>
        </is>
      </c>
      <c r="C7" s="35" t="inlineStr">
        <is>
          <t>Fashion has highest return rate at 13.9%. Returns erode net revenue and inflate fulfillment cost.</t>
        </is>
      </c>
      <c r="D7" s="39" t="inlineStr">
        <is>
          <t>→  Engage Fashion category team to review product quality and size/fit guidance.</t>
        </is>
      </c>
    </row>
  </sheetData>
  <mergeCells count="1">
    <mergeCell ref="B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H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6" customWidth="1" min="3" max="3"/>
    <col width="16" customWidth="1" min="4" max="4"/>
    <col width="18" customWidth="1" min="5" max="5"/>
    <col width="18" customWidth="1" min="6" max="6"/>
    <col width="3" customWidth="1" min="7" max="7"/>
  </cols>
  <sheetData>
    <row r="1" ht="22" customHeight="1">
      <c r="B1" s="18" t="inlineStr">
        <is>
          <t xml:space="preserve">  PRODUCT CATEGORY — Returns &amp; Revenue Analysis</t>
        </is>
      </c>
    </row>
    <row r="2">
      <c r="B2" s="19" t="inlineStr">
        <is>
          <t>Category</t>
        </is>
      </c>
      <c r="C2" s="19" t="inlineStr">
        <is>
          <t>Total Orders</t>
        </is>
      </c>
      <c r="D2" s="19" t="inlineStr">
        <is>
          <t>Returns</t>
        </is>
      </c>
      <c r="E2" s="19" t="inlineStr">
        <is>
          <t>Return Rate %</t>
        </is>
      </c>
      <c r="F2" s="19" t="inlineStr">
        <is>
          <t>Total Revenue</t>
        </is>
      </c>
    </row>
    <row r="3" ht="20" customHeight="1">
      <c r="B3" s="28" t="inlineStr">
        <is>
          <t>Fashion</t>
        </is>
      </c>
      <c r="C3" s="29" t="inlineStr">
        <is>
          <t>667,641</t>
        </is>
      </c>
      <c r="D3" s="29" t="inlineStr">
        <is>
          <t>93,104</t>
        </is>
      </c>
      <c r="E3" s="40" t="inlineStr">
        <is>
          <t>13.95%</t>
        </is>
      </c>
      <c r="F3" s="29" t="inlineStr">
        <is>
          <t>₹154.2M</t>
        </is>
      </c>
    </row>
    <row r="4" ht="20" customHeight="1">
      <c r="B4" s="32" t="inlineStr">
        <is>
          <t>Electronics</t>
        </is>
      </c>
      <c r="C4" s="33" t="inlineStr">
        <is>
          <t>792,756</t>
        </is>
      </c>
      <c r="D4" s="33" t="inlineStr">
        <is>
          <t>47,676</t>
        </is>
      </c>
      <c r="E4" s="41" t="inlineStr">
        <is>
          <t>6.01%</t>
        </is>
      </c>
      <c r="F4" s="33" t="inlineStr">
        <is>
          <t>₹183.0M</t>
        </is>
      </c>
    </row>
    <row r="5" ht="20" customHeight="1">
      <c r="B5" s="28" t="inlineStr">
        <is>
          <t>Home &amp; Kitchen</t>
        </is>
      </c>
      <c r="C5" s="29" t="inlineStr">
        <is>
          <t>393,301</t>
        </is>
      </c>
      <c r="D5" s="29" t="inlineStr">
        <is>
          <t>20,030</t>
        </is>
      </c>
      <c r="E5" s="41" t="inlineStr">
        <is>
          <t>5.09%</t>
        </is>
      </c>
      <c r="F5" s="29" t="inlineStr">
        <is>
          <t>₹92.3M</t>
        </is>
      </c>
    </row>
    <row r="6" ht="20" customHeight="1">
      <c r="B6" s="32" t="inlineStr">
        <is>
          <t>Books</t>
        </is>
      </c>
      <c r="C6" s="33" t="inlineStr">
        <is>
          <t>275,274</t>
        </is>
      </c>
      <c r="D6" s="33" t="inlineStr">
        <is>
          <t>8,126</t>
        </is>
      </c>
      <c r="E6" s="31" t="inlineStr">
        <is>
          <t>2.95%</t>
        </is>
      </c>
      <c r="F6" s="33" t="inlineStr">
        <is>
          <t>₹63.7M</t>
        </is>
      </c>
    </row>
    <row r="7" ht="20" customHeight="1">
      <c r="B7" s="28" t="inlineStr">
        <is>
          <t>Grocery</t>
        </is>
      </c>
      <c r="C7" s="29" t="inlineStr">
        <is>
          <t>525,541</t>
        </is>
      </c>
      <c r="D7" s="29" t="inlineStr">
        <is>
          <t>10,748</t>
        </is>
      </c>
      <c r="E7" s="31" t="inlineStr">
        <is>
          <t>2.05%</t>
        </is>
      </c>
      <c r="F7" s="29" t="inlineStr">
        <is>
          <t>₹123.5M</t>
        </is>
      </c>
    </row>
  </sheetData>
  <mergeCells count="1">
    <mergeCell ref="B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2026-03-10T16:31:49Z</dcterms:created>
  <dcterms:modified xsi:type="dcterms:W3CDTF">2026-03-10T16:31:49Z</dcterms:modified>
</cp:coreProperties>
</file>